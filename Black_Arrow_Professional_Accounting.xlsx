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Project Costing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VAT Management" sheetId="5" state="visible" r:id="rId5"/>
    <sheet xmlns:r="http://schemas.openxmlformats.org/officeDocument/2006/relationships" name="Statement of Account" sheetId="6" state="visible" r:id="rId6"/>
    <sheet xmlns:r="http://schemas.openxmlformats.org/officeDocument/2006/relationships" name="Partner Distribution" sheetId="7" state="visible" r:id="rId7"/>
    <sheet xmlns:r="http://schemas.openxmlformats.org/officeDocument/2006/relationships" name="Instru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F3460"/>
      <sz val="18"/>
    </font>
    <font>
      <name val="Calibri"/>
      <b val="1"/>
      <color rgb="0016213E"/>
      <sz val="14"/>
    </font>
    <font>
      <name val="Calibri"/>
      <b val="1"/>
      <color rgb="000F3460"/>
      <sz val="11"/>
    </font>
    <font>
      <name val="Calibri"/>
      <b val="1"/>
      <sz val="10"/>
    </font>
    <font>
      <name val="Calibri"/>
      <sz val="10"/>
    </font>
    <font>
      <name val="Calibri"/>
      <b val="1"/>
      <color rgb="000F3460"/>
      <sz val="14"/>
    </font>
    <font>
      <name val="Calibri"/>
      <b val="1"/>
      <color rgb="0016213E"/>
      <sz val="12"/>
    </font>
    <font>
      <name val="Calibri"/>
      <i val="1"/>
      <sz val="9"/>
    </font>
    <font>
      <name val="Calibri"/>
      <b val="1"/>
      <color rgb="00FFFFFF"/>
      <sz val="11"/>
    </font>
    <font>
      <name val="Calibri"/>
      <b val="1"/>
      <color rgb="000F3460"/>
      <sz val="10"/>
    </font>
    <font>
      <name val="Calibri"/>
      <b val="1"/>
      <color rgb="00FFFFFF"/>
      <sz val="10"/>
    </font>
    <font>
      <name val="Calibri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0F3460"/>
        <bgColor rgb="000F3460"/>
      </patternFill>
    </fill>
    <fill>
      <patternFill patternType="solid">
        <fgColor rgb="00FFF3CD"/>
        <bgColor rgb="00FFF3CD"/>
      </patternFill>
    </fill>
    <fill>
      <patternFill patternType="solid">
        <fgColor rgb="0016213E"/>
        <bgColor rgb="0016213E"/>
      </patternFill>
    </fill>
    <fill>
      <patternFill patternType="solid">
        <fgColor rgb="00E94560"/>
        <bgColor rgb="00E9456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1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10" fillId="4" borderId="1" pivotButton="0" quotePrefix="0" xfId="0"/>
    <xf numFmtId="4" fontId="0" fillId="4" borderId="1" pivotButton="0" quotePrefix="0" xfId="0"/>
    <xf numFmtId="0" fontId="10" fillId="4" borderId="0" pivotButton="0" quotePrefix="0" xfId="0"/>
    <xf numFmtId="0" fontId="11" fillId="5" borderId="0" pivotButton="0" quotePrefix="0" xfId="0"/>
    <xf numFmtId="0" fontId="9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1" pivotButton="0" quotePrefix="0" xfId="0"/>
    <xf numFmtId="0" fontId="9" fillId="6" borderId="1" pivotButton="0" quotePrefix="0" xfId="0"/>
    <xf numFmtId="4" fontId="9" fillId="6" borderId="1" pivotButton="0" quotePrefix="0" xfId="0"/>
    <xf numFmtId="10" fontId="0" fillId="0" borderId="1" pivotButton="0" quotePrefix="0" xfId="0"/>
    <xf numFmtId="4" fontId="0" fillId="0" borderId="1" applyAlignment="1" pivotButton="0" quotePrefix="0" xfId="0">
      <alignment horizontal="right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 ht="30" customHeight="1">
      <c r="A2" s="1" t="inlineStr">
        <is>
          <t>THE BLACK ARROW COMPANY</t>
        </is>
      </c>
    </row>
    <row r="4">
      <c r="A4" s="2" t="inlineStr">
        <is>
          <t>COMPREHENSIVE ACCOUNTING SYSTEM</t>
        </is>
      </c>
    </row>
    <row r="7">
      <c r="A7" s="3" t="inlineStr">
        <is>
          <t>QUICK LINKS TO SHEETS</t>
        </is>
      </c>
    </row>
    <row r="8">
      <c r="A8" s="4" t="inlineStr">
        <is>
          <t>1. Revenue</t>
        </is>
      </c>
      <c r="B8" s="5" t="inlineStr">
        <is>
          <t>Enter all customer invoices and payments</t>
        </is>
      </c>
    </row>
    <row r="9">
      <c r="A9" s="4" t="inlineStr">
        <is>
          <t>2. Project Costing</t>
        </is>
      </c>
      <c r="B9" s="5" t="inlineStr">
        <is>
          <t>Track PO values, costs, and balances</t>
        </is>
      </c>
    </row>
    <row r="10">
      <c r="A10" s="4" t="inlineStr">
        <is>
          <t>3. Expenses</t>
        </is>
      </c>
      <c r="B10" s="5" t="inlineStr">
        <is>
          <t>Record all business expenses</t>
        </is>
      </c>
    </row>
    <row r="11">
      <c r="A11" s="4" t="inlineStr">
        <is>
          <t>4. VAT Management</t>
        </is>
      </c>
      <c r="B11" s="5" t="inlineStr">
        <is>
          <t>Track VAT in and out, manage VAT balance</t>
        </is>
      </c>
    </row>
    <row r="12">
      <c r="A12" s="4" t="inlineStr">
        <is>
          <t>5. Statement of Account</t>
        </is>
      </c>
      <c r="B12" s="5" t="inlineStr">
        <is>
          <t>P&amp;L statement with all linked values</t>
        </is>
      </c>
    </row>
    <row r="13">
      <c r="A13" s="4" t="inlineStr">
        <is>
          <t>6. Partner Distribution</t>
        </is>
      </c>
      <c r="B13" s="5" t="inlineStr">
        <is>
          <t>Final shares for all 6 partners</t>
        </is>
      </c>
    </row>
    <row r="17">
      <c r="A17" s="6" t="inlineStr">
        <is>
          <t>COMPANY INFORMATION</t>
        </is>
      </c>
    </row>
    <row r="18">
      <c r="A18" s="4" t="inlineStr">
        <is>
          <t>Company Name:</t>
        </is>
      </c>
      <c r="B18" t="inlineStr">
        <is>
          <t>The Black Arrow Company</t>
        </is>
      </c>
    </row>
    <row r="19">
      <c r="A19" s="4" t="inlineStr">
        <is>
          <t>Country:</t>
        </is>
      </c>
      <c r="B19" t="inlineStr">
        <is>
          <t>Saudi Arabia</t>
        </is>
      </c>
    </row>
    <row r="20">
      <c r="A20" s="4" t="inlineStr">
        <is>
          <t>Currency:</t>
        </is>
      </c>
      <c r="B20" t="inlineStr">
        <is>
          <t>Saudi Riyal (SAR)</t>
        </is>
      </c>
    </row>
    <row r="21">
      <c r="A21" s="4" t="inlineStr">
        <is>
          <t>Tax Rate (VAT):</t>
        </is>
      </c>
      <c r="B21" t="inlineStr">
        <is>
          <t>15%</t>
        </is>
      </c>
    </row>
    <row r="22">
      <c r="A22" s="4" t="inlineStr">
        <is>
          <t>Year:</t>
        </is>
      </c>
      <c r="B22" t="inlineStr">
        <is>
          <t>2026</t>
        </is>
      </c>
    </row>
    <row r="26">
      <c r="A26" s="6" t="inlineStr">
        <is>
          <t>PARTNER SHAREHOLDING</t>
        </is>
      </c>
    </row>
    <row r="27">
      <c r="A27" t="inlineStr">
        <is>
          <t>Adnan Afzal</t>
        </is>
      </c>
      <c r="B27" s="7" t="n">
        <v>0.17</v>
      </c>
    </row>
    <row r="28">
      <c r="A28" t="inlineStr">
        <is>
          <t>Zain Humayoun</t>
        </is>
      </c>
      <c r="B28" s="7" t="n">
        <v>0.17</v>
      </c>
    </row>
    <row r="29">
      <c r="A29" t="inlineStr">
        <is>
          <t>Talha Ansari</t>
        </is>
      </c>
      <c r="B29" s="7" t="n">
        <v>0.17</v>
      </c>
    </row>
    <row r="30">
      <c r="A30" t="inlineStr">
        <is>
          <t>Asad Rehman</t>
        </is>
      </c>
      <c r="B30" s="7" t="n">
        <v>0.17</v>
      </c>
    </row>
    <row r="31">
      <c r="A31" t="inlineStr">
        <is>
          <t>Shahzad Khan</t>
        </is>
      </c>
      <c r="B31" s="7" t="n">
        <v>0.17</v>
      </c>
    </row>
    <row r="32">
      <c r="A32" t="inlineStr">
        <is>
          <t>Yousuf</t>
        </is>
      </c>
      <c r="B32" s="7" t="n">
        <v>0.075</v>
      </c>
    </row>
  </sheetData>
  <mergeCells count="2">
    <mergeCell ref="A4:H4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5" customWidth="1" min="4" max="4"/>
    <col width="12" customWidth="1" min="5" max="5"/>
    <col width="15" customWidth="1" min="6" max="6"/>
    <col width="15" customWidth="1" min="7" max="7"/>
    <col width="20" customWidth="1" min="8" max="8"/>
  </cols>
  <sheetData>
    <row r="1">
      <c r="A1" s="8" t="inlineStr">
        <is>
          <t>THE BLACK ARROW COMPANY</t>
        </is>
      </c>
    </row>
    <row r="2">
      <c r="A2" s="9" t="inlineStr">
        <is>
          <t>REVENUE TRACKING</t>
        </is>
      </c>
    </row>
    <row r="3">
      <c r="A3" s="10" t="inlineStr">
        <is>
          <t>As of 30 May 2026</t>
        </is>
      </c>
    </row>
    <row r="5">
      <c r="A5" s="11" t="inlineStr">
        <is>
          <t>Entry#</t>
        </is>
      </c>
      <c r="B5" s="11" t="inlineStr">
        <is>
          <t>Date</t>
        </is>
      </c>
      <c r="C5" s="11" t="inlineStr">
        <is>
          <t>Customer Name</t>
        </is>
      </c>
      <c r="D5" s="11" t="inlineStr">
        <is>
          <t>Invoice #</t>
        </is>
      </c>
      <c r="E5" s="11" t="inlineStr">
        <is>
          <t>Gross Amount (SAR)</t>
        </is>
      </c>
      <c r="F5" s="11" t="inlineStr">
        <is>
          <t>VAT Amount</t>
        </is>
      </c>
      <c r="G5" s="11" t="inlineStr">
        <is>
          <t>Net Amount</t>
        </is>
      </c>
      <c r="H5" s="11" t="inlineStr">
        <is>
          <t>Notes</t>
        </is>
      </c>
    </row>
    <row r="6">
      <c r="A6" s="12" t="n">
        <v>1</v>
      </c>
      <c r="B6" s="12" t="inlineStr"/>
      <c r="C6" s="12" t="inlineStr"/>
      <c r="D6" s="12" t="inlineStr"/>
      <c r="E6" s="13" t="inlineStr"/>
      <c r="F6" s="13">
        <f>E6*0.15</f>
        <v/>
      </c>
      <c r="G6" s="13">
        <f>E6-F6</f>
        <v/>
      </c>
      <c r="H6" s="13" t="inlineStr"/>
    </row>
    <row r="7">
      <c r="A7" s="12" t="n">
        <v>2</v>
      </c>
      <c r="B7" s="12" t="inlineStr"/>
      <c r="C7" s="12" t="inlineStr"/>
      <c r="D7" s="12" t="inlineStr"/>
      <c r="E7" s="13" t="inlineStr"/>
      <c r="F7" s="13">
        <f>E7*0.15</f>
        <v/>
      </c>
      <c r="G7" s="13">
        <f>E7-F7</f>
        <v/>
      </c>
      <c r="H7" s="13" t="inlineStr"/>
    </row>
    <row r="8">
      <c r="A8" s="12" t="n">
        <v>3</v>
      </c>
      <c r="B8" s="12" t="inlineStr"/>
      <c r="C8" s="12" t="inlineStr"/>
      <c r="D8" s="12" t="inlineStr"/>
      <c r="E8" s="13" t="inlineStr"/>
      <c r="F8" s="13">
        <f>E8*0.15</f>
        <v/>
      </c>
      <c r="G8" s="13">
        <f>E8-F8</f>
        <v/>
      </c>
      <c r="H8" s="13" t="inlineStr"/>
    </row>
    <row r="9">
      <c r="A9" s="12" t="n">
        <v>4</v>
      </c>
      <c r="B9" s="12" t="inlineStr"/>
      <c r="C9" s="12" t="inlineStr"/>
      <c r="D9" s="12" t="inlineStr"/>
      <c r="E9" s="13" t="inlineStr"/>
      <c r="F9" s="13">
        <f>E9*0.15</f>
        <v/>
      </c>
      <c r="G9" s="13">
        <f>E9-F9</f>
        <v/>
      </c>
      <c r="H9" s="13" t="inlineStr"/>
    </row>
    <row r="10">
      <c r="A10" s="12" t="n">
        <v>5</v>
      </c>
      <c r="B10" s="12" t="inlineStr"/>
      <c r="C10" s="12" t="inlineStr"/>
      <c r="D10" s="12" t="inlineStr"/>
      <c r="E10" s="13" t="inlineStr"/>
      <c r="F10" s="13">
        <f>E10*0.15</f>
        <v/>
      </c>
      <c r="G10" s="13">
        <f>E10-F10</f>
        <v/>
      </c>
      <c r="H10" s="13" t="inlineStr"/>
    </row>
    <row r="11">
      <c r="A11" s="12" t="n">
        <v>6</v>
      </c>
      <c r="B11" s="12" t="inlineStr"/>
      <c r="C11" s="12" t="inlineStr"/>
      <c r="D11" s="12" t="inlineStr"/>
      <c r="E11" s="13" t="inlineStr"/>
      <c r="F11" s="13">
        <f>E11*0.15</f>
        <v/>
      </c>
      <c r="G11" s="13">
        <f>E11-F11</f>
        <v/>
      </c>
      <c r="H11" s="13" t="inlineStr"/>
    </row>
    <row r="12">
      <c r="A12" s="12" t="n">
        <v>7</v>
      </c>
      <c r="B12" s="12" t="inlineStr"/>
      <c r="C12" s="12" t="inlineStr"/>
      <c r="D12" s="12" t="inlineStr"/>
      <c r="E12" s="13" t="inlineStr"/>
      <c r="F12" s="13">
        <f>E12*0.15</f>
        <v/>
      </c>
      <c r="G12" s="13">
        <f>E12-F12</f>
        <v/>
      </c>
      <c r="H12" s="13" t="inlineStr"/>
    </row>
    <row r="13">
      <c r="A13" s="12" t="n">
        <v>8</v>
      </c>
      <c r="B13" s="12" t="inlineStr"/>
      <c r="C13" s="12" t="inlineStr"/>
      <c r="D13" s="12" t="inlineStr"/>
      <c r="E13" s="13" t="inlineStr"/>
      <c r="F13" s="13">
        <f>E13*0.15</f>
        <v/>
      </c>
      <c r="G13" s="13">
        <f>E13-F13</f>
        <v/>
      </c>
      <c r="H13" s="13" t="inlineStr"/>
    </row>
    <row r="14">
      <c r="A14" s="12" t="n">
        <v>9</v>
      </c>
      <c r="B14" s="12" t="inlineStr"/>
      <c r="C14" s="12" t="inlineStr"/>
      <c r="D14" s="12" t="inlineStr"/>
      <c r="E14" s="13" t="inlineStr"/>
      <c r="F14" s="13">
        <f>E14*0.15</f>
        <v/>
      </c>
      <c r="G14" s="13">
        <f>E14-F14</f>
        <v/>
      </c>
      <c r="H14" s="13" t="inlineStr"/>
    </row>
    <row r="15">
      <c r="A15" s="12" t="n">
        <v>10</v>
      </c>
      <c r="B15" s="12" t="inlineStr"/>
      <c r="C15" s="12" t="inlineStr"/>
      <c r="D15" s="12" t="inlineStr"/>
      <c r="E15" s="13" t="inlineStr"/>
      <c r="F15" s="13">
        <f>E15*0.15</f>
        <v/>
      </c>
      <c r="G15" s="13">
        <f>E15-F15</f>
        <v/>
      </c>
      <c r="H15" s="13" t="inlineStr"/>
    </row>
    <row r="16">
      <c r="A16" s="12" t="n">
        <v>11</v>
      </c>
      <c r="B16" s="12" t="inlineStr"/>
      <c r="C16" s="12" t="inlineStr"/>
      <c r="D16" s="12" t="inlineStr"/>
      <c r="E16" s="13" t="inlineStr"/>
      <c r="F16" s="13">
        <f>E16*0.15</f>
        <v/>
      </c>
      <c r="G16" s="13">
        <f>E16-F16</f>
        <v/>
      </c>
      <c r="H16" s="13" t="inlineStr"/>
    </row>
    <row r="17">
      <c r="A17" s="12" t="n">
        <v>12</v>
      </c>
      <c r="B17" s="12" t="inlineStr"/>
      <c r="C17" s="12" t="inlineStr"/>
      <c r="D17" s="12" t="inlineStr"/>
      <c r="E17" s="13" t="inlineStr"/>
      <c r="F17" s="13">
        <f>E17*0.15</f>
        <v/>
      </c>
      <c r="G17" s="13">
        <f>E17-F17</f>
        <v/>
      </c>
      <c r="H17" s="13" t="inlineStr"/>
    </row>
    <row r="18">
      <c r="A18" s="12" t="n">
        <v>13</v>
      </c>
      <c r="B18" s="12" t="inlineStr"/>
      <c r="C18" s="12" t="inlineStr"/>
      <c r="D18" s="12" t="inlineStr"/>
      <c r="E18" s="13" t="inlineStr"/>
      <c r="F18" s="13">
        <f>E18*0.15</f>
        <v/>
      </c>
      <c r="G18" s="13">
        <f>E18-F18</f>
        <v/>
      </c>
      <c r="H18" s="13" t="inlineStr"/>
    </row>
    <row r="19">
      <c r="A19" s="12" t="n">
        <v>14</v>
      </c>
      <c r="B19" s="12" t="inlineStr"/>
      <c r="C19" s="12" t="inlineStr"/>
      <c r="D19" s="12" t="inlineStr"/>
      <c r="E19" s="13" t="inlineStr"/>
      <c r="F19" s="13">
        <f>E19*0.15</f>
        <v/>
      </c>
      <c r="G19" s="13">
        <f>E19-F19</f>
        <v/>
      </c>
      <c r="H19" s="13" t="inlineStr"/>
    </row>
    <row r="20">
      <c r="A20" s="12" t="n">
        <v>15</v>
      </c>
      <c r="B20" s="12" t="inlineStr"/>
      <c r="C20" s="12" t="inlineStr"/>
      <c r="D20" s="12" t="inlineStr"/>
      <c r="E20" s="13" t="inlineStr"/>
      <c r="F20" s="13">
        <f>E20*0.15</f>
        <v/>
      </c>
      <c r="G20" s="13">
        <f>E20-F20</f>
        <v/>
      </c>
      <c r="H20" s="13" t="inlineStr"/>
    </row>
    <row r="21">
      <c r="A21" s="12" t="n">
        <v>16</v>
      </c>
      <c r="B21" s="12" t="inlineStr"/>
      <c r="C21" s="12" t="inlineStr"/>
      <c r="D21" s="12" t="inlineStr"/>
      <c r="E21" s="13" t="inlineStr"/>
      <c r="F21" s="13">
        <f>E21*0.15</f>
        <v/>
      </c>
      <c r="G21" s="13">
        <f>E21-F21</f>
        <v/>
      </c>
      <c r="H21" s="13" t="inlineStr"/>
    </row>
    <row r="22">
      <c r="A22" s="12" t="n">
        <v>17</v>
      </c>
      <c r="B22" s="12" t="inlineStr"/>
      <c r="C22" s="12" t="inlineStr"/>
      <c r="D22" s="12" t="inlineStr"/>
      <c r="E22" s="13" t="inlineStr"/>
      <c r="F22" s="13">
        <f>E22*0.15</f>
        <v/>
      </c>
      <c r="G22" s="13">
        <f>E22-F22</f>
        <v/>
      </c>
      <c r="H22" s="13" t="inlineStr"/>
    </row>
    <row r="23">
      <c r="A23" s="12" t="n">
        <v>18</v>
      </c>
      <c r="B23" s="12" t="inlineStr"/>
      <c r="C23" s="12" t="inlineStr"/>
      <c r="D23" s="12" t="inlineStr"/>
      <c r="E23" s="13" t="inlineStr"/>
      <c r="F23" s="13">
        <f>E23*0.15</f>
        <v/>
      </c>
      <c r="G23" s="13">
        <f>E23-F23</f>
        <v/>
      </c>
      <c r="H23" s="13" t="inlineStr"/>
    </row>
    <row r="24">
      <c r="A24" s="12" t="n">
        <v>19</v>
      </c>
      <c r="B24" s="12" t="inlineStr"/>
      <c r="C24" s="12" t="inlineStr"/>
      <c r="D24" s="12" t="inlineStr"/>
      <c r="E24" s="13" t="inlineStr"/>
      <c r="F24" s="13">
        <f>E24*0.15</f>
        <v/>
      </c>
      <c r="G24" s="13">
        <f>E24-F24</f>
        <v/>
      </c>
      <c r="H24" s="13" t="inlineStr"/>
    </row>
    <row r="25">
      <c r="A25" s="12" t="n">
        <v>20</v>
      </c>
      <c r="B25" s="12" t="inlineStr"/>
      <c r="C25" s="12" t="inlineStr"/>
      <c r="D25" s="12" t="inlineStr"/>
      <c r="E25" s="13" t="inlineStr"/>
      <c r="F25" s="13">
        <f>E25*0.15</f>
        <v/>
      </c>
      <c r="G25" s="13">
        <f>E25-F25</f>
        <v/>
      </c>
      <c r="H25" s="13" t="inlineStr"/>
    </row>
    <row r="26">
      <c r="A26" s="12" t="n">
        <v>21</v>
      </c>
      <c r="B26" s="12" t="inlineStr"/>
      <c r="C26" s="12" t="inlineStr"/>
      <c r="D26" s="12" t="inlineStr"/>
      <c r="E26" s="13" t="inlineStr"/>
      <c r="F26" s="13">
        <f>E26*0.15</f>
        <v/>
      </c>
      <c r="G26" s="13">
        <f>E26-F26</f>
        <v/>
      </c>
      <c r="H26" s="13" t="inlineStr"/>
    </row>
    <row r="27">
      <c r="A27" s="12" t="n">
        <v>22</v>
      </c>
      <c r="B27" s="12" t="inlineStr"/>
      <c r="C27" s="12" t="inlineStr"/>
      <c r="D27" s="12" t="inlineStr"/>
      <c r="E27" s="13" t="inlineStr"/>
      <c r="F27" s="13">
        <f>E27*0.15</f>
        <v/>
      </c>
      <c r="G27" s="13">
        <f>E27-F27</f>
        <v/>
      </c>
      <c r="H27" s="13" t="inlineStr"/>
    </row>
    <row r="28">
      <c r="A28" s="12" t="n">
        <v>23</v>
      </c>
      <c r="B28" s="12" t="inlineStr"/>
      <c r="C28" s="12" t="inlineStr"/>
      <c r="D28" s="12" t="inlineStr"/>
      <c r="E28" s="13" t="inlineStr"/>
      <c r="F28" s="13">
        <f>E28*0.15</f>
        <v/>
      </c>
      <c r="G28" s="13">
        <f>E28-F28</f>
        <v/>
      </c>
      <c r="H28" s="13" t="inlineStr"/>
    </row>
    <row r="29">
      <c r="A29" s="12" t="n">
        <v>24</v>
      </c>
      <c r="B29" s="12" t="inlineStr"/>
      <c r="C29" s="12" t="inlineStr"/>
      <c r="D29" s="12" t="inlineStr"/>
      <c r="E29" s="13" t="inlineStr"/>
      <c r="F29" s="13">
        <f>E29*0.15</f>
        <v/>
      </c>
      <c r="G29" s="13">
        <f>E29-F29</f>
        <v/>
      </c>
      <c r="H29" s="13" t="inlineStr"/>
    </row>
    <row r="30">
      <c r="A30" s="12" t="n">
        <v>25</v>
      </c>
      <c r="B30" s="12" t="inlineStr"/>
      <c r="C30" s="12" t="inlineStr"/>
      <c r="D30" s="12" t="inlineStr"/>
      <c r="E30" s="13" t="inlineStr"/>
      <c r="F30" s="13">
        <f>E30*0.15</f>
        <v/>
      </c>
      <c r="G30" s="13">
        <f>E30-F30</f>
        <v/>
      </c>
      <c r="H30" s="13" t="inlineStr"/>
    </row>
    <row r="31">
      <c r="A31" s="12" t="n">
        <v>26</v>
      </c>
      <c r="B31" s="12" t="inlineStr"/>
      <c r="C31" s="12" t="inlineStr"/>
      <c r="D31" s="12" t="inlineStr"/>
      <c r="E31" s="13" t="inlineStr"/>
      <c r="F31" s="13">
        <f>E31*0.15</f>
        <v/>
      </c>
      <c r="G31" s="13">
        <f>E31-F31</f>
        <v/>
      </c>
      <c r="H31" s="13" t="inlineStr"/>
    </row>
    <row r="32">
      <c r="A32" s="12" t="n">
        <v>27</v>
      </c>
      <c r="B32" s="12" t="inlineStr"/>
      <c r="C32" s="12" t="inlineStr"/>
      <c r="D32" s="12" t="inlineStr"/>
      <c r="E32" s="13" t="inlineStr"/>
      <c r="F32" s="13">
        <f>E32*0.15</f>
        <v/>
      </c>
      <c r="G32" s="13">
        <f>E32-F32</f>
        <v/>
      </c>
      <c r="H32" s="13" t="inlineStr"/>
    </row>
    <row r="33">
      <c r="A33" s="12" t="n">
        <v>28</v>
      </c>
      <c r="B33" s="12" t="inlineStr"/>
      <c r="C33" s="12" t="inlineStr"/>
      <c r="D33" s="12" t="inlineStr"/>
      <c r="E33" s="13" t="inlineStr"/>
      <c r="F33" s="13">
        <f>E33*0.15</f>
        <v/>
      </c>
      <c r="G33" s="13">
        <f>E33-F33</f>
        <v/>
      </c>
      <c r="H33" s="13" t="inlineStr"/>
    </row>
    <row r="34">
      <c r="A34" s="12" t="n">
        <v>29</v>
      </c>
      <c r="B34" s="12" t="inlineStr"/>
      <c r="C34" s="12" t="inlineStr"/>
      <c r="D34" s="12" t="inlineStr"/>
      <c r="E34" s="13" t="inlineStr"/>
      <c r="F34" s="13">
        <f>E34*0.15</f>
        <v/>
      </c>
      <c r="G34" s="13">
        <f>E34-F34</f>
        <v/>
      </c>
      <c r="H34" s="13" t="inlineStr"/>
    </row>
    <row r="35">
      <c r="A35" s="12" t="n">
        <v>30</v>
      </c>
      <c r="B35" s="12" t="inlineStr"/>
      <c r="C35" s="12" t="inlineStr"/>
      <c r="D35" s="12" t="inlineStr"/>
      <c r="E35" s="13" t="inlineStr"/>
      <c r="F35" s="13">
        <f>E35*0.15</f>
        <v/>
      </c>
      <c r="G35" s="13">
        <f>E35-F35</f>
        <v/>
      </c>
      <c r="H35" s="13" t="inlineStr"/>
    </row>
    <row r="37">
      <c r="A37" s="14" t="inlineStr">
        <is>
          <t>TOTAL REVENUE</t>
        </is>
      </c>
      <c r="B37" s="12" t="n"/>
      <c r="C37" s="12" t="n"/>
      <c r="D37" s="12" t="n"/>
      <c r="E37" s="15">
        <f>SUM(E5:E34)</f>
        <v/>
      </c>
      <c r="F37" s="15">
        <f>SUM(F5:F34)</f>
        <v/>
      </c>
      <c r="G37" s="15">
        <f>SUM(G5:G34)</f>
        <v/>
      </c>
      <c r="H37" s="15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8" t="inlineStr">
        <is>
          <t>THE BLACK ARROW COMPANY</t>
        </is>
      </c>
    </row>
    <row r="2">
      <c r="A2" s="9" t="inlineStr">
        <is>
          <t>PROJECT COSTING - PO TRACKING</t>
        </is>
      </c>
    </row>
    <row r="3">
      <c r="A3" s="10" t="inlineStr">
        <is>
          <t>As of 30 May 2026</t>
        </is>
      </c>
    </row>
    <row r="5">
      <c r="A5" s="11" t="inlineStr">
        <is>
          <t>Entry#</t>
        </is>
      </c>
      <c r="B5" s="11" t="inlineStr">
        <is>
          <t>Date</t>
        </is>
      </c>
      <c r="C5" s="11" t="inlineStr">
        <is>
          <t>Project Name</t>
        </is>
      </c>
      <c r="D5" s="11" t="inlineStr">
        <is>
          <t>PO #</t>
        </is>
      </c>
      <c r="E5" s="11" t="inlineStr">
        <is>
          <t>PO Value (SAR)</t>
        </is>
      </c>
      <c r="F5" s="11" t="inlineStr">
        <is>
          <t>Cost Paid (SAR)</t>
        </is>
      </c>
      <c r="G5" s="11" t="inlineStr">
        <is>
          <t>Balance (SAR)</t>
        </is>
      </c>
      <c r="H5" s="11" t="inlineStr">
        <is>
          <t>Notes</t>
        </is>
      </c>
    </row>
    <row r="6">
      <c r="A6" s="12" t="n">
        <v>1</v>
      </c>
      <c r="B6" s="12" t="inlineStr"/>
      <c r="C6" s="12" t="inlineStr"/>
      <c r="D6" s="12" t="inlineStr"/>
      <c r="E6" s="13" t="inlineStr"/>
      <c r="F6" s="13" t="inlineStr"/>
      <c r="G6" s="13">
        <f>E6-F6</f>
        <v/>
      </c>
      <c r="H6" s="13" t="inlineStr"/>
    </row>
    <row r="7">
      <c r="A7" s="12" t="n">
        <v>2</v>
      </c>
      <c r="B7" s="12" t="inlineStr"/>
      <c r="C7" s="12" t="inlineStr"/>
      <c r="D7" s="12" t="inlineStr"/>
      <c r="E7" s="13" t="inlineStr"/>
      <c r="F7" s="13" t="inlineStr"/>
      <c r="G7" s="13">
        <f>E7-F7</f>
        <v/>
      </c>
      <c r="H7" s="13" t="inlineStr"/>
    </row>
    <row r="8">
      <c r="A8" s="12" t="n">
        <v>3</v>
      </c>
      <c r="B8" s="12" t="inlineStr"/>
      <c r="C8" s="12" t="inlineStr"/>
      <c r="D8" s="12" t="inlineStr"/>
      <c r="E8" s="13" t="inlineStr"/>
      <c r="F8" s="13" t="inlineStr"/>
      <c r="G8" s="13">
        <f>E8-F8</f>
        <v/>
      </c>
      <c r="H8" s="13" t="inlineStr"/>
    </row>
    <row r="9">
      <c r="A9" s="12" t="n">
        <v>4</v>
      </c>
      <c r="B9" s="12" t="inlineStr"/>
      <c r="C9" s="12" t="inlineStr"/>
      <c r="D9" s="12" t="inlineStr"/>
      <c r="E9" s="13" t="inlineStr"/>
      <c r="F9" s="13" t="inlineStr"/>
      <c r="G9" s="13">
        <f>E9-F9</f>
        <v/>
      </c>
      <c r="H9" s="13" t="inlineStr"/>
    </row>
    <row r="10">
      <c r="A10" s="12" t="n">
        <v>5</v>
      </c>
      <c r="B10" s="12" t="inlineStr"/>
      <c r="C10" s="12" t="inlineStr"/>
      <c r="D10" s="12" t="inlineStr"/>
      <c r="E10" s="13" t="inlineStr"/>
      <c r="F10" s="13" t="inlineStr"/>
      <c r="G10" s="13">
        <f>E10-F10</f>
        <v/>
      </c>
      <c r="H10" s="13" t="inlineStr"/>
    </row>
    <row r="11">
      <c r="A11" s="12" t="n">
        <v>6</v>
      </c>
      <c r="B11" s="12" t="inlineStr"/>
      <c r="C11" s="12" t="inlineStr"/>
      <c r="D11" s="12" t="inlineStr"/>
      <c r="E11" s="13" t="inlineStr"/>
      <c r="F11" s="13" t="inlineStr"/>
      <c r="G11" s="13">
        <f>E11-F11</f>
        <v/>
      </c>
      <c r="H11" s="13" t="inlineStr"/>
    </row>
    <row r="12">
      <c r="A12" s="12" t="n">
        <v>7</v>
      </c>
      <c r="B12" s="12" t="inlineStr"/>
      <c r="C12" s="12" t="inlineStr"/>
      <c r="D12" s="12" t="inlineStr"/>
      <c r="E12" s="13" t="inlineStr"/>
      <c r="F12" s="13" t="inlineStr"/>
      <c r="G12" s="13">
        <f>E12-F12</f>
        <v/>
      </c>
      <c r="H12" s="13" t="inlineStr"/>
    </row>
    <row r="13">
      <c r="A13" s="12" t="n">
        <v>8</v>
      </c>
      <c r="B13" s="12" t="inlineStr"/>
      <c r="C13" s="12" t="inlineStr"/>
      <c r="D13" s="12" t="inlineStr"/>
      <c r="E13" s="13" t="inlineStr"/>
      <c r="F13" s="13" t="inlineStr"/>
      <c r="G13" s="13">
        <f>E13-F13</f>
        <v/>
      </c>
      <c r="H13" s="13" t="inlineStr"/>
    </row>
    <row r="14">
      <c r="A14" s="12" t="n">
        <v>9</v>
      </c>
      <c r="B14" s="12" t="inlineStr"/>
      <c r="C14" s="12" t="inlineStr"/>
      <c r="D14" s="12" t="inlineStr"/>
      <c r="E14" s="13" t="inlineStr"/>
      <c r="F14" s="13" t="inlineStr"/>
      <c r="G14" s="13">
        <f>E14-F14</f>
        <v/>
      </c>
      <c r="H14" s="13" t="inlineStr"/>
    </row>
    <row r="15">
      <c r="A15" s="12" t="n">
        <v>10</v>
      </c>
      <c r="B15" s="12" t="inlineStr"/>
      <c r="C15" s="12" t="inlineStr"/>
      <c r="D15" s="12" t="inlineStr"/>
      <c r="E15" s="13" t="inlineStr"/>
      <c r="F15" s="13" t="inlineStr"/>
      <c r="G15" s="13">
        <f>E15-F15</f>
        <v/>
      </c>
      <c r="H15" s="13" t="inlineStr"/>
    </row>
    <row r="16">
      <c r="A16" s="12" t="n">
        <v>11</v>
      </c>
      <c r="B16" s="12" t="inlineStr"/>
      <c r="C16" s="12" t="inlineStr"/>
      <c r="D16" s="12" t="inlineStr"/>
      <c r="E16" s="13" t="inlineStr"/>
      <c r="F16" s="13" t="inlineStr"/>
      <c r="G16" s="13">
        <f>E16-F16</f>
        <v/>
      </c>
      <c r="H16" s="13" t="inlineStr"/>
    </row>
    <row r="17">
      <c r="A17" s="12" t="n">
        <v>12</v>
      </c>
      <c r="B17" s="12" t="inlineStr"/>
      <c r="C17" s="12" t="inlineStr"/>
      <c r="D17" s="12" t="inlineStr"/>
      <c r="E17" s="13" t="inlineStr"/>
      <c r="F17" s="13" t="inlineStr"/>
      <c r="G17" s="13">
        <f>E17-F17</f>
        <v/>
      </c>
      <c r="H17" s="13" t="inlineStr"/>
    </row>
    <row r="18">
      <c r="A18" s="12" t="n">
        <v>13</v>
      </c>
      <c r="B18" s="12" t="inlineStr"/>
      <c r="C18" s="12" t="inlineStr"/>
      <c r="D18" s="12" t="inlineStr"/>
      <c r="E18" s="13" t="inlineStr"/>
      <c r="F18" s="13" t="inlineStr"/>
      <c r="G18" s="13">
        <f>E18-F18</f>
        <v/>
      </c>
      <c r="H18" s="13" t="inlineStr"/>
    </row>
    <row r="19">
      <c r="A19" s="12" t="n">
        <v>14</v>
      </c>
      <c r="B19" s="12" t="inlineStr"/>
      <c r="C19" s="12" t="inlineStr"/>
      <c r="D19" s="12" t="inlineStr"/>
      <c r="E19" s="13" t="inlineStr"/>
      <c r="F19" s="13" t="inlineStr"/>
      <c r="G19" s="13">
        <f>E19-F19</f>
        <v/>
      </c>
      <c r="H19" s="13" t="inlineStr"/>
    </row>
    <row r="20">
      <c r="A20" s="12" t="n">
        <v>15</v>
      </c>
      <c r="B20" s="12" t="inlineStr"/>
      <c r="C20" s="12" t="inlineStr"/>
      <c r="D20" s="12" t="inlineStr"/>
      <c r="E20" s="13" t="inlineStr"/>
      <c r="F20" s="13" t="inlineStr"/>
      <c r="G20" s="13">
        <f>E20-F20</f>
        <v/>
      </c>
      <c r="H20" s="13" t="inlineStr"/>
    </row>
    <row r="21">
      <c r="A21" s="12" t="n">
        <v>16</v>
      </c>
      <c r="B21" s="12" t="inlineStr"/>
      <c r="C21" s="12" t="inlineStr"/>
      <c r="D21" s="12" t="inlineStr"/>
      <c r="E21" s="13" t="inlineStr"/>
      <c r="F21" s="13" t="inlineStr"/>
      <c r="G21" s="13">
        <f>E21-F21</f>
        <v/>
      </c>
      <c r="H21" s="13" t="inlineStr"/>
    </row>
    <row r="22">
      <c r="A22" s="12" t="n">
        <v>17</v>
      </c>
      <c r="B22" s="12" t="inlineStr"/>
      <c r="C22" s="12" t="inlineStr"/>
      <c r="D22" s="12" t="inlineStr"/>
      <c r="E22" s="13" t="inlineStr"/>
      <c r="F22" s="13" t="inlineStr"/>
      <c r="G22" s="13">
        <f>E22-F22</f>
        <v/>
      </c>
      <c r="H22" s="13" t="inlineStr"/>
    </row>
    <row r="23">
      <c r="A23" s="12" t="n">
        <v>18</v>
      </c>
      <c r="B23" s="12" t="inlineStr"/>
      <c r="C23" s="12" t="inlineStr"/>
      <c r="D23" s="12" t="inlineStr"/>
      <c r="E23" s="13" t="inlineStr"/>
      <c r="F23" s="13" t="inlineStr"/>
      <c r="G23" s="13">
        <f>E23-F23</f>
        <v/>
      </c>
      <c r="H23" s="13" t="inlineStr"/>
    </row>
    <row r="24">
      <c r="A24" s="12" t="n">
        <v>19</v>
      </c>
      <c r="B24" s="12" t="inlineStr"/>
      <c r="C24" s="12" t="inlineStr"/>
      <c r="D24" s="12" t="inlineStr"/>
      <c r="E24" s="13" t="inlineStr"/>
      <c r="F24" s="13" t="inlineStr"/>
      <c r="G24" s="13">
        <f>E24-F24</f>
        <v/>
      </c>
      <c r="H24" s="13" t="inlineStr"/>
    </row>
    <row r="25">
      <c r="A25" s="12" t="n">
        <v>20</v>
      </c>
      <c r="B25" s="12" t="inlineStr"/>
      <c r="C25" s="12" t="inlineStr"/>
      <c r="D25" s="12" t="inlineStr"/>
      <c r="E25" s="13" t="inlineStr"/>
      <c r="F25" s="13" t="inlineStr"/>
      <c r="G25" s="13">
        <f>E25-F25</f>
        <v/>
      </c>
      <c r="H25" s="13" t="inlineStr"/>
    </row>
    <row r="26">
      <c r="A26" s="12" t="n">
        <v>21</v>
      </c>
      <c r="B26" s="12" t="inlineStr"/>
      <c r="C26" s="12" t="inlineStr"/>
      <c r="D26" s="12" t="inlineStr"/>
      <c r="E26" s="13" t="inlineStr"/>
      <c r="F26" s="13" t="inlineStr"/>
      <c r="G26" s="13">
        <f>E26-F26</f>
        <v/>
      </c>
      <c r="H26" s="13" t="inlineStr"/>
    </row>
    <row r="27">
      <c r="A27" s="12" t="n">
        <v>22</v>
      </c>
      <c r="B27" s="12" t="inlineStr"/>
      <c r="C27" s="12" t="inlineStr"/>
      <c r="D27" s="12" t="inlineStr"/>
      <c r="E27" s="13" t="inlineStr"/>
      <c r="F27" s="13" t="inlineStr"/>
      <c r="G27" s="13">
        <f>E27-F27</f>
        <v/>
      </c>
      <c r="H27" s="13" t="inlineStr"/>
    </row>
    <row r="28">
      <c r="A28" s="12" t="n">
        <v>23</v>
      </c>
      <c r="B28" s="12" t="inlineStr"/>
      <c r="C28" s="12" t="inlineStr"/>
      <c r="D28" s="12" t="inlineStr"/>
      <c r="E28" s="13" t="inlineStr"/>
      <c r="F28" s="13" t="inlineStr"/>
      <c r="G28" s="13">
        <f>E28-F28</f>
        <v/>
      </c>
      <c r="H28" s="13" t="inlineStr"/>
    </row>
    <row r="29">
      <c r="A29" s="12" t="n">
        <v>24</v>
      </c>
      <c r="B29" s="12" t="inlineStr"/>
      <c r="C29" s="12" t="inlineStr"/>
      <c r="D29" s="12" t="inlineStr"/>
      <c r="E29" s="13" t="inlineStr"/>
      <c r="F29" s="13" t="inlineStr"/>
      <c r="G29" s="13">
        <f>E29-F29</f>
        <v/>
      </c>
      <c r="H29" s="13" t="inlineStr"/>
    </row>
    <row r="30">
      <c r="A30" s="12" t="n">
        <v>25</v>
      </c>
      <c r="B30" s="12" t="inlineStr"/>
      <c r="C30" s="12" t="inlineStr"/>
      <c r="D30" s="12" t="inlineStr"/>
      <c r="E30" s="13" t="inlineStr"/>
      <c r="F30" s="13" t="inlineStr"/>
      <c r="G30" s="13">
        <f>E30-F30</f>
        <v/>
      </c>
      <c r="H30" s="13" t="inlineStr"/>
    </row>
    <row r="32">
      <c r="A32" s="14" t="inlineStr">
        <is>
          <t>TOTALS</t>
        </is>
      </c>
      <c r="B32" s="12" t="n"/>
      <c r="C32" s="12" t="n"/>
      <c r="D32" s="12" t="n"/>
      <c r="E32" s="15">
        <f>SUM(E5:E29)</f>
        <v/>
      </c>
      <c r="F32" s="15">
        <f>SUM(F5:F29)</f>
        <v/>
      </c>
      <c r="G32" s="15">
        <f>SUM(G5:G29)</f>
        <v/>
      </c>
      <c r="H32" s="15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5" customWidth="1" min="4" max="4"/>
    <col width="15" customWidth="1" min="5" max="5"/>
    <col width="12" customWidth="1" min="6" max="6"/>
    <col width="25" customWidth="1" min="7" max="7"/>
  </cols>
  <sheetData>
    <row r="1">
      <c r="A1" s="8" t="inlineStr">
        <is>
          <t>THE BLACK ARROW COMPANY</t>
        </is>
      </c>
    </row>
    <row r="2">
      <c r="A2" s="9" t="inlineStr">
        <is>
          <t>OPERATING EXPENSES</t>
        </is>
      </c>
    </row>
    <row r="3">
      <c r="A3" s="10" t="inlineStr">
        <is>
          <t>As of 30 May 2026</t>
        </is>
      </c>
    </row>
    <row r="5">
      <c r="A5" s="11" t="inlineStr">
        <is>
          <t>Entry#</t>
        </is>
      </c>
      <c r="B5" s="11" t="inlineStr">
        <is>
          <t>Date</t>
        </is>
      </c>
      <c r="C5" s="11" t="inlineStr">
        <is>
          <t>Expense Category</t>
        </is>
      </c>
      <c r="D5" s="11" t="inlineStr">
        <is>
          <t>Amount (SAR)</t>
        </is>
      </c>
      <c r="E5" s="11" t="inlineStr">
        <is>
          <t>VAT Recoverable</t>
        </is>
      </c>
      <c r="F5" s="11" t="inlineStr">
        <is>
          <t>Invoice #</t>
        </is>
      </c>
      <c r="G5" s="11" t="inlineStr">
        <is>
          <t>Notes</t>
        </is>
      </c>
    </row>
    <row r="6">
      <c r="A6" s="12" t="n">
        <v>1</v>
      </c>
      <c r="B6" s="12" t="inlineStr"/>
      <c r="C6" s="12" t="inlineStr"/>
      <c r="D6" s="13" t="inlineStr"/>
      <c r="E6" s="12" t="inlineStr"/>
      <c r="F6" s="12" t="inlineStr"/>
      <c r="G6" s="12" t="inlineStr"/>
    </row>
    <row r="7">
      <c r="A7" s="12" t="n">
        <v>2</v>
      </c>
      <c r="B7" s="12" t="inlineStr"/>
      <c r="C7" s="12" t="inlineStr"/>
      <c r="D7" s="13" t="inlineStr"/>
      <c r="E7" s="12" t="inlineStr"/>
      <c r="F7" s="12" t="inlineStr"/>
      <c r="G7" s="12" t="inlineStr"/>
    </row>
    <row r="8">
      <c r="A8" s="12" t="n">
        <v>3</v>
      </c>
      <c r="B8" s="12" t="inlineStr"/>
      <c r="C8" s="12" t="inlineStr"/>
      <c r="D8" s="13" t="inlineStr"/>
      <c r="E8" s="12" t="inlineStr"/>
      <c r="F8" s="12" t="inlineStr"/>
      <c r="G8" s="12" t="inlineStr"/>
    </row>
    <row r="9">
      <c r="A9" s="12" t="n">
        <v>4</v>
      </c>
      <c r="B9" s="12" t="inlineStr"/>
      <c r="C9" s="12" t="inlineStr"/>
      <c r="D9" s="13" t="inlineStr"/>
      <c r="E9" s="12" t="inlineStr"/>
      <c r="F9" s="12" t="inlineStr"/>
      <c r="G9" s="12" t="inlineStr"/>
    </row>
    <row r="10">
      <c r="A10" s="12" t="n">
        <v>5</v>
      </c>
      <c r="B10" s="12" t="inlineStr"/>
      <c r="C10" s="12" t="inlineStr"/>
      <c r="D10" s="13" t="inlineStr"/>
      <c r="E10" s="12" t="inlineStr"/>
      <c r="F10" s="12" t="inlineStr"/>
      <c r="G10" s="12" t="inlineStr"/>
    </row>
    <row r="11">
      <c r="A11" s="12" t="n">
        <v>6</v>
      </c>
      <c r="B11" s="12" t="inlineStr"/>
      <c r="C11" s="12" t="inlineStr"/>
      <c r="D11" s="13" t="inlineStr"/>
      <c r="E11" s="12" t="inlineStr"/>
      <c r="F11" s="12" t="inlineStr"/>
      <c r="G11" s="12" t="inlineStr"/>
    </row>
    <row r="12">
      <c r="A12" s="12" t="n">
        <v>7</v>
      </c>
      <c r="B12" s="12" t="inlineStr"/>
      <c r="C12" s="12" t="inlineStr"/>
      <c r="D12" s="13" t="inlineStr"/>
      <c r="E12" s="12" t="inlineStr"/>
      <c r="F12" s="12" t="inlineStr"/>
      <c r="G12" s="12" t="inlineStr"/>
    </row>
    <row r="13">
      <c r="A13" s="12" t="n">
        <v>8</v>
      </c>
      <c r="B13" s="12" t="inlineStr"/>
      <c r="C13" s="12" t="inlineStr"/>
      <c r="D13" s="13" t="inlineStr"/>
      <c r="E13" s="12" t="inlineStr"/>
      <c r="F13" s="12" t="inlineStr"/>
      <c r="G13" s="12" t="inlineStr"/>
    </row>
    <row r="14">
      <c r="A14" s="12" t="n">
        <v>9</v>
      </c>
      <c r="B14" s="12" t="inlineStr"/>
      <c r="C14" s="12" t="inlineStr"/>
      <c r="D14" s="13" t="inlineStr"/>
      <c r="E14" s="12" t="inlineStr"/>
      <c r="F14" s="12" t="inlineStr"/>
      <c r="G14" s="12" t="inlineStr"/>
    </row>
    <row r="15">
      <c r="A15" s="12" t="n">
        <v>10</v>
      </c>
      <c r="B15" s="12" t="inlineStr"/>
      <c r="C15" s="12" t="inlineStr"/>
      <c r="D15" s="13" t="inlineStr"/>
      <c r="E15" s="12" t="inlineStr"/>
      <c r="F15" s="12" t="inlineStr"/>
      <c r="G15" s="12" t="inlineStr"/>
    </row>
    <row r="16">
      <c r="A16" s="12" t="n">
        <v>11</v>
      </c>
      <c r="B16" s="12" t="inlineStr"/>
      <c r="C16" s="12" t="inlineStr"/>
      <c r="D16" s="13" t="inlineStr"/>
      <c r="E16" s="12" t="inlineStr"/>
      <c r="F16" s="12" t="inlineStr"/>
      <c r="G16" s="12" t="inlineStr"/>
    </row>
    <row r="17">
      <c r="A17" s="12" t="n">
        <v>12</v>
      </c>
      <c r="B17" s="12" t="inlineStr"/>
      <c r="C17" s="12" t="inlineStr"/>
      <c r="D17" s="13" t="inlineStr"/>
      <c r="E17" s="12" t="inlineStr"/>
      <c r="F17" s="12" t="inlineStr"/>
      <c r="G17" s="12" t="inlineStr"/>
    </row>
    <row r="18">
      <c r="A18" s="12" t="n">
        <v>13</v>
      </c>
      <c r="B18" s="12" t="inlineStr"/>
      <c r="C18" s="12" t="inlineStr"/>
      <c r="D18" s="13" t="inlineStr"/>
      <c r="E18" s="12" t="inlineStr"/>
      <c r="F18" s="12" t="inlineStr"/>
      <c r="G18" s="12" t="inlineStr"/>
    </row>
    <row r="19">
      <c r="A19" s="12" t="n">
        <v>14</v>
      </c>
      <c r="B19" s="12" t="inlineStr"/>
      <c r="C19" s="12" t="inlineStr"/>
      <c r="D19" s="13" t="inlineStr"/>
      <c r="E19" s="12" t="inlineStr"/>
      <c r="F19" s="12" t="inlineStr"/>
      <c r="G19" s="12" t="inlineStr"/>
    </row>
    <row r="20">
      <c r="A20" s="12" t="n">
        <v>15</v>
      </c>
      <c r="B20" s="12" t="inlineStr"/>
      <c r="C20" s="12" t="inlineStr"/>
      <c r="D20" s="13" t="inlineStr"/>
      <c r="E20" s="12" t="inlineStr"/>
      <c r="F20" s="12" t="inlineStr"/>
      <c r="G20" s="12" t="inlineStr"/>
    </row>
    <row r="21">
      <c r="A21" s="12" t="n">
        <v>16</v>
      </c>
      <c r="B21" s="12" t="inlineStr"/>
      <c r="C21" s="12" t="inlineStr"/>
      <c r="D21" s="13" t="inlineStr"/>
      <c r="E21" s="12" t="inlineStr"/>
      <c r="F21" s="12" t="inlineStr"/>
      <c r="G21" s="12" t="inlineStr"/>
    </row>
    <row r="22">
      <c r="A22" s="12" t="n">
        <v>17</v>
      </c>
      <c r="B22" s="12" t="inlineStr"/>
      <c r="C22" s="12" t="inlineStr"/>
      <c r="D22" s="13" t="inlineStr"/>
      <c r="E22" s="12" t="inlineStr"/>
      <c r="F22" s="12" t="inlineStr"/>
      <c r="G22" s="12" t="inlineStr"/>
    </row>
    <row r="23">
      <c r="A23" s="12" t="n">
        <v>18</v>
      </c>
      <c r="B23" s="12" t="inlineStr"/>
      <c r="C23" s="12" t="inlineStr"/>
      <c r="D23" s="13" t="inlineStr"/>
      <c r="E23" s="12" t="inlineStr"/>
      <c r="F23" s="12" t="inlineStr"/>
      <c r="G23" s="12" t="inlineStr"/>
    </row>
    <row r="24">
      <c r="A24" s="12" t="n">
        <v>19</v>
      </c>
      <c r="B24" s="12" t="inlineStr"/>
      <c r="C24" s="12" t="inlineStr"/>
      <c r="D24" s="13" t="inlineStr"/>
      <c r="E24" s="12" t="inlineStr"/>
      <c r="F24" s="12" t="inlineStr"/>
      <c r="G24" s="12" t="inlineStr"/>
    </row>
    <row r="25">
      <c r="A25" s="12" t="n">
        <v>20</v>
      </c>
      <c r="B25" s="12" t="inlineStr"/>
      <c r="C25" s="12" t="inlineStr"/>
      <c r="D25" s="13" t="inlineStr"/>
      <c r="E25" s="12" t="inlineStr"/>
      <c r="F25" s="12" t="inlineStr"/>
      <c r="G25" s="12" t="inlineStr"/>
    </row>
    <row r="26">
      <c r="A26" s="12" t="n">
        <v>21</v>
      </c>
      <c r="B26" s="12" t="inlineStr"/>
      <c r="C26" s="12" t="inlineStr"/>
      <c r="D26" s="13" t="inlineStr"/>
      <c r="E26" s="12" t="inlineStr"/>
      <c r="F26" s="12" t="inlineStr"/>
      <c r="G26" s="12" t="inlineStr"/>
    </row>
    <row r="27">
      <c r="A27" s="12" t="n">
        <v>22</v>
      </c>
      <c r="B27" s="12" t="inlineStr"/>
      <c r="C27" s="12" t="inlineStr"/>
      <c r="D27" s="13" t="inlineStr"/>
      <c r="E27" s="12" t="inlineStr"/>
      <c r="F27" s="12" t="inlineStr"/>
      <c r="G27" s="12" t="inlineStr"/>
    </row>
    <row r="28">
      <c r="A28" s="12" t="n">
        <v>23</v>
      </c>
      <c r="B28" s="12" t="inlineStr"/>
      <c r="C28" s="12" t="inlineStr"/>
      <c r="D28" s="13" t="inlineStr"/>
      <c r="E28" s="12" t="inlineStr"/>
      <c r="F28" s="12" t="inlineStr"/>
      <c r="G28" s="12" t="inlineStr"/>
    </row>
    <row r="29">
      <c r="A29" s="12" t="n">
        <v>24</v>
      </c>
      <c r="B29" s="12" t="inlineStr"/>
      <c r="C29" s="12" t="inlineStr"/>
      <c r="D29" s="13" t="inlineStr"/>
      <c r="E29" s="12" t="inlineStr"/>
      <c r="F29" s="12" t="inlineStr"/>
      <c r="G29" s="12" t="inlineStr"/>
    </row>
    <row r="30">
      <c r="A30" s="12" t="n">
        <v>25</v>
      </c>
      <c r="B30" s="12" t="inlineStr"/>
      <c r="C30" s="12" t="inlineStr"/>
      <c r="D30" s="13" t="inlineStr"/>
      <c r="E30" s="12" t="inlineStr"/>
      <c r="F30" s="12" t="inlineStr"/>
      <c r="G30" s="12" t="inlineStr"/>
    </row>
    <row r="32">
      <c r="A32" s="16" t="inlineStr">
        <is>
          <t>TOTAL EXPENSES</t>
        </is>
      </c>
      <c r="D32" s="15">
        <f>SUM(D5:D29)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</cols>
  <sheetData>
    <row r="1">
      <c r="A1" s="8" t="inlineStr">
        <is>
          <t>THE BLACK ARROW COMPANY</t>
        </is>
      </c>
    </row>
    <row r="2">
      <c r="A2" s="9" t="inlineStr">
        <is>
          <t>VAT MANAGEMENT &amp; RECONCILIATION</t>
        </is>
      </c>
    </row>
    <row r="3">
      <c r="A3" s="10" t="inlineStr">
        <is>
          <t>As of 30 May 2026</t>
        </is>
      </c>
    </row>
    <row r="6">
      <c r="A6" s="17" t="inlineStr">
        <is>
          <t>VAT COLLECTED FROM CUSTOMERS (Output VAT)</t>
        </is>
      </c>
    </row>
    <row r="7">
      <c r="A7" s="18" t="inlineStr">
        <is>
          <t>Description</t>
        </is>
      </c>
      <c r="B7" s="18" t="inlineStr">
        <is>
          <t>Gross Amount</t>
        </is>
      </c>
      <c r="C7" s="18" t="inlineStr">
        <is>
          <t>VAT @ 15%</t>
        </is>
      </c>
      <c r="D7" s="18" t="inlineStr">
        <is>
          <t>Reference</t>
        </is>
      </c>
    </row>
    <row r="8">
      <c r="A8" s="12" t="inlineStr">
        <is>
          <t>Total Revenue from Revenue Sheet</t>
        </is>
      </c>
      <c r="B8" s="13">
        <f>Revenue!E35</f>
        <v/>
      </c>
      <c r="C8" s="13">
        <f>Revenue!F35</f>
        <v/>
      </c>
      <c r="D8" s="13" t="inlineStr">
        <is>
          <t>From Revenue Sheet</t>
        </is>
      </c>
    </row>
    <row r="11">
      <c r="A11" s="17" t="inlineStr">
        <is>
          <t>VAT PAID ON EXPENSES (Input VAT)</t>
        </is>
      </c>
    </row>
    <row r="12">
      <c r="A12" s="18" t="inlineStr">
        <is>
          <t>Description</t>
        </is>
      </c>
      <c r="B12" s="18" t="inlineStr">
        <is>
          <t>Expense Amount</t>
        </is>
      </c>
      <c r="C12" s="18" t="inlineStr">
        <is>
          <t>VAT @ 15%</t>
        </is>
      </c>
      <c r="D12" s="18" t="inlineStr">
        <is>
          <t>Reference</t>
        </is>
      </c>
    </row>
    <row r="13">
      <c r="A13" s="12" t="inlineStr">
        <is>
          <t>Total Expenses from Expenses Sheet</t>
        </is>
      </c>
      <c r="B13" s="13">
        <f>Expenses!D30</f>
        <v/>
      </c>
      <c r="C13" s="13">
        <f>B13*0.15</f>
        <v/>
      </c>
      <c r="D13" s="13" t="inlineStr">
        <is>
          <t>From Expenses Sheet</t>
        </is>
      </c>
    </row>
    <row r="16">
      <c r="A16" s="17" t="inlineStr">
        <is>
          <t>VAT RECONCILIATION SUMMARY</t>
        </is>
      </c>
    </row>
    <row r="17">
      <c r="A17" s="19" t="inlineStr">
        <is>
          <t>VAT Collected from Customers</t>
        </is>
      </c>
      <c r="B17" s="13">
        <f>C8</f>
        <v/>
      </c>
      <c r="C17" s="13" t="n"/>
      <c r="D17" s="13" t="n"/>
    </row>
    <row r="18">
      <c r="A18" s="19" t="inlineStr">
        <is>
          <t>Less: VAT Paid on Expenses</t>
        </is>
      </c>
      <c r="B18" s="13">
        <f>C13</f>
        <v/>
      </c>
      <c r="C18" s="13" t="n"/>
      <c r="D18" s="13" t="n"/>
    </row>
    <row r="19">
      <c r="A19" s="16" t="inlineStr">
        <is>
          <t>NET VAT LIABILITY / (REFUND)</t>
        </is>
      </c>
      <c r="B19" s="15">
        <f>B17-B18</f>
        <v/>
      </c>
    </row>
    <row r="21">
      <c r="A21" s="20" t="inlineStr">
        <is>
          <t>Note: Positive amount = VAT payable to authorities</t>
        </is>
      </c>
    </row>
  </sheetData>
  <mergeCells count="7">
    <mergeCell ref="A1:H1"/>
    <mergeCell ref="A3:H3"/>
    <mergeCell ref="A6:D6"/>
    <mergeCell ref="A2:H2"/>
    <mergeCell ref="A21:D21"/>
    <mergeCell ref="A16:D16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8" t="inlineStr">
        <is>
          <t>THE BLACK ARROW COMPANY</t>
        </is>
      </c>
    </row>
    <row r="2">
      <c r="A2" s="9" t="inlineStr">
        <is>
          <t>STATEMENT OF ACCOUNT (P&amp;L)</t>
        </is>
      </c>
    </row>
    <row r="3">
      <c r="A3" s="10" t="inlineStr">
        <is>
          <t>As of 30 May 2026</t>
        </is>
      </c>
    </row>
    <row r="5">
      <c r="A5" s="3" t="inlineStr">
        <is>
          <t>STATEMENT OF PROFIT &amp; LOSS</t>
        </is>
      </c>
    </row>
    <row r="6">
      <c r="A6" s="18" t="inlineStr">
        <is>
          <t>Description</t>
        </is>
      </c>
      <c r="B6" s="18" t="inlineStr">
        <is>
          <t>Amount (SAR)</t>
        </is>
      </c>
      <c r="C6" s="18" t="inlineStr">
        <is>
          <t>Variance</t>
        </is>
      </c>
    </row>
    <row r="7">
      <c r="A7" s="21" t="inlineStr">
        <is>
          <t>REVENUE</t>
        </is>
      </c>
    </row>
    <row r="8">
      <c r="A8" s="22" t="inlineStr">
        <is>
          <t>Gross Sales</t>
        </is>
      </c>
      <c r="B8" s="13">
        <f>Revenue!E35</f>
        <v/>
      </c>
      <c r="C8" s="13" t="n"/>
    </row>
    <row r="9">
      <c r="A9" s="22" t="inlineStr">
        <is>
          <t>Less: VAT on Sales</t>
        </is>
      </c>
      <c r="B9" s="13">
        <f>Revenue!F35</f>
        <v/>
      </c>
      <c r="C9" s="13" t="n"/>
    </row>
    <row r="10">
      <c r="A10" s="14" t="inlineStr">
        <is>
          <t>NET REVENUE</t>
        </is>
      </c>
      <c r="B10" s="15">
        <f>B8-B9</f>
        <v/>
      </c>
      <c r="C10" s="13" t="n"/>
    </row>
    <row r="12">
      <c r="A12" s="21" t="inlineStr">
        <is>
          <t>COSTS</t>
        </is>
      </c>
    </row>
    <row r="13">
      <c r="A13" s="12" t="inlineStr">
        <is>
          <t>Project Costs</t>
        </is>
      </c>
      <c r="B13" s="13">
        <f>'Project Costing'!F29</f>
        <v/>
      </c>
      <c r="C13" s="13" t="n"/>
    </row>
    <row r="14">
      <c r="A14" s="12" t="inlineStr">
        <is>
          <t>Operating Expenses</t>
        </is>
      </c>
      <c r="B14" s="13">
        <f>Expenses!D30</f>
        <v/>
      </c>
      <c r="C14" s="13" t="n"/>
    </row>
    <row r="15">
      <c r="A15" s="19" t="inlineStr">
        <is>
          <t>TOTAL COSTS</t>
        </is>
      </c>
      <c r="B15" s="13">
        <f>B13+B14</f>
        <v/>
      </c>
      <c r="C15" s="13" t="n"/>
    </row>
    <row r="17">
      <c r="A17" s="23" t="inlineStr">
        <is>
          <t>GROSS PROFIT / (LOSS)</t>
        </is>
      </c>
      <c r="B17" s="24">
        <f>B10-B15</f>
        <v/>
      </c>
      <c r="C17" s="13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</cols>
  <sheetData>
    <row r="1">
      <c r="A1" s="8" t="inlineStr">
        <is>
          <t>THE BLACK ARROW COMPANY</t>
        </is>
      </c>
    </row>
    <row r="2">
      <c r="A2" s="9" t="inlineStr">
        <is>
          <t>PARTNER PROFIT DISTRIBUTION</t>
        </is>
      </c>
    </row>
    <row r="3">
      <c r="A3" s="10" t="inlineStr">
        <is>
          <t>As of 30 May 2026</t>
        </is>
      </c>
    </row>
    <row r="5">
      <c r="A5" s="18" t="inlineStr">
        <is>
          <t>Partner Name</t>
        </is>
      </c>
      <c r="B5" s="18" t="inlineStr">
        <is>
          <t>Shareholding %</t>
        </is>
      </c>
      <c r="C5" s="18" t="inlineStr">
        <is>
          <t>Share of Profit (SAR)</t>
        </is>
      </c>
      <c r="D5" s="18" t="inlineStr">
        <is>
          <t>Notes</t>
        </is>
      </c>
    </row>
    <row r="6">
      <c r="A6" s="12" t="inlineStr">
        <is>
          <t>Adnan Afzal</t>
        </is>
      </c>
      <c r="B6" s="25" t="n">
        <v>0.17</v>
      </c>
      <c r="C6" s="26">
        <f>'Statement of Account'!B17*B6</f>
        <v/>
      </c>
      <c r="D6" s="12" t="inlineStr">
        <is>
          <t>Based on 17.0% shareholding</t>
        </is>
      </c>
    </row>
    <row r="7">
      <c r="A7" s="12" t="inlineStr">
        <is>
          <t>Zain Humayoun</t>
        </is>
      </c>
      <c r="B7" s="25" t="n">
        <v>0.17</v>
      </c>
      <c r="C7" s="26">
        <f>'Statement of Account'!B17*B7</f>
        <v/>
      </c>
      <c r="D7" s="12" t="inlineStr">
        <is>
          <t>Based on 17.0% shareholding</t>
        </is>
      </c>
    </row>
    <row r="8">
      <c r="A8" s="12" t="inlineStr">
        <is>
          <t>Talha Ansari</t>
        </is>
      </c>
      <c r="B8" s="25" t="n">
        <v>0.17</v>
      </c>
      <c r="C8" s="26">
        <f>'Statement of Account'!B17*B8</f>
        <v/>
      </c>
      <c r="D8" s="12" t="inlineStr">
        <is>
          <t>Based on 17.0% shareholding</t>
        </is>
      </c>
    </row>
    <row r="9">
      <c r="A9" s="12" t="inlineStr">
        <is>
          <t>Asad Rehman</t>
        </is>
      </c>
      <c r="B9" s="25" t="n">
        <v>0.17</v>
      </c>
      <c r="C9" s="26">
        <f>'Statement of Account'!B17*B9</f>
        <v/>
      </c>
      <c r="D9" s="12" t="inlineStr">
        <is>
          <t>Based on 17.0% shareholding</t>
        </is>
      </c>
    </row>
    <row r="10">
      <c r="A10" s="12" t="inlineStr">
        <is>
          <t>Shahzad Khan</t>
        </is>
      </c>
      <c r="B10" s="25" t="n">
        <v>0.17</v>
      </c>
      <c r="C10" s="26">
        <f>'Statement of Account'!B17*B10</f>
        <v/>
      </c>
      <c r="D10" s="12" t="inlineStr">
        <is>
          <t>Based on 17.0% shareholding</t>
        </is>
      </c>
    </row>
    <row r="11">
      <c r="A11" s="12" t="inlineStr">
        <is>
          <t>Yousuf</t>
        </is>
      </c>
      <c r="B11" s="25" t="n">
        <v>0.075</v>
      </c>
      <c r="C11" s="26">
        <f>'Statement of Account'!B17*B11</f>
        <v/>
      </c>
      <c r="D11" s="12" t="inlineStr">
        <is>
          <t>Based on 7.5% shareholding</t>
        </is>
      </c>
    </row>
    <row r="13">
      <c r="A13" s="14" t="inlineStr">
        <is>
          <t>TOTAL DISTRIBUTION</t>
        </is>
      </c>
      <c r="B13" s="12" t="n"/>
      <c r="C13" s="15">
        <f>'Statement of Account'!B17</f>
        <v/>
      </c>
      <c r="D13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7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27" t="inlineStr">
        <is>
          <t>THE BLACK ARROW COMPANY - ACCOUNTING SYSTEM USER GUIDE</t>
        </is>
      </c>
    </row>
    <row r="5" ht="15" customHeight="1">
      <c r="A5" s="3" t="inlineStr">
        <is>
          <t>SYSTEM OVERVIEW</t>
        </is>
      </c>
    </row>
    <row r="6" ht="20" customHeight="1">
      <c r="A6" s="28" t="inlineStr">
        <is>
          <t>This comprehensive accounting system tracks all company financial activities and automatically generates financial statements and partner distribution reports.</t>
        </is>
      </c>
    </row>
    <row r="7" ht="20" customHeight="1">
      <c r="A7" s="28" t="inlineStr"/>
    </row>
    <row r="8" ht="15" customHeight="1">
      <c r="A8" s="3" t="inlineStr">
        <is>
          <t>SHEETS &amp; THEIR PURPOSE</t>
        </is>
      </c>
    </row>
    <row r="9" ht="20" customHeight="1">
      <c r="A9" s="28" t="inlineStr">
        <is>
          <t>1. DASHBOARD Navigation hub and company information overview</t>
        </is>
      </c>
    </row>
    <row r="10" ht="20" customHeight="1">
      <c r="A10" s="28" t="inlineStr">
        <is>
          <t>2. REVENUE Record all customer invoices and payment collections. VAT is automatically calculated at 15%.</t>
        </is>
      </c>
    </row>
    <row r="11" ht="20" customHeight="1">
      <c r="A11" s="28" t="inlineStr">
        <is>
          <t>3. PROJECT COSTING Track Purchase Orders (PO), budgeted amounts, actual costs paid, and remaining balances.</t>
        </is>
      </c>
    </row>
    <row r="12" ht="20" customHeight="1">
      <c r="A12" s="28" t="inlineStr">
        <is>
          <t>4. EXPENSES Log all operating expenses (rent, utilities, salaries, professional fees, etc.)</t>
        </is>
      </c>
    </row>
    <row r="13" ht="20" customHeight="1">
      <c r="A13" s="28" t="inlineStr">
        <is>
          <t>5. VAT MANAGEMENT Automatic reconciliation of:</t>
        </is>
      </c>
    </row>
    <row r="14" ht="20" customHeight="1">
      <c r="A14" s="28" t="inlineStr">
        <is>
          <t xml:space="preserve">   • VAT collected from customers (Output VAT)</t>
        </is>
      </c>
    </row>
    <row r="15" ht="20" customHeight="1">
      <c r="A15" s="28" t="inlineStr">
        <is>
          <t xml:space="preserve">   • VAT paid on expenses (Input VAT)</t>
        </is>
      </c>
    </row>
    <row r="16" ht="20" customHeight="1">
      <c r="A16" s="28" t="inlineStr">
        <is>
          <t xml:space="preserve">   • Net VAT liability or refund due</t>
        </is>
      </c>
    </row>
    <row r="17" ht="20" customHeight="1">
      <c r="A17" s="28" t="inlineStr">
        <is>
          <t>6. STATEMENT OF ACCOUNT Consolidated P&amp;L statement showing:</t>
        </is>
      </c>
    </row>
    <row r="18" ht="20" customHeight="1">
      <c r="A18" s="28" t="inlineStr">
        <is>
          <t xml:space="preserve">   • Net Revenue (after VAT)</t>
        </is>
      </c>
    </row>
    <row r="19" ht="20" customHeight="1">
      <c r="A19" s="28" t="inlineStr">
        <is>
          <t xml:space="preserve">   • Total Costs</t>
        </is>
      </c>
    </row>
    <row r="20" ht="20" customHeight="1">
      <c r="A20" s="28" t="inlineStr">
        <is>
          <t xml:space="preserve">   • Gross Profit/Loss</t>
        </is>
      </c>
    </row>
    <row r="21" ht="20" customHeight="1">
      <c r="A21" s="28" t="inlineStr">
        <is>
          <t>7. PARTNER DISTRIBUTION Automatic calculation of each partner's profit share based on shareholding %</t>
        </is>
      </c>
    </row>
    <row r="22" ht="20" customHeight="1">
      <c r="A22" s="28" t="inlineStr"/>
    </row>
    <row r="23" ht="15" customHeight="1">
      <c r="A23" s="3" t="inlineStr">
        <is>
          <t>ENTRY GUIDE</t>
        </is>
      </c>
    </row>
    <row r="24" ht="20" customHeight="1">
      <c r="A24" s="28" t="inlineStr">
        <is>
          <t>REVENUE SHEET:</t>
        </is>
      </c>
    </row>
    <row r="25" ht="20" customHeight="1">
      <c r="A25" s="28" t="inlineStr">
        <is>
          <t>• Date: Enter transaction date</t>
        </is>
      </c>
    </row>
    <row r="26" ht="20" customHeight="1">
      <c r="A26" s="28" t="inlineStr">
        <is>
          <t>• Customer Name: Who the invoice is to</t>
        </is>
      </c>
    </row>
    <row r="27" ht="20" customHeight="1">
      <c r="A27" s="28" t="inlineStr">
        <is>
          <t>• Invoice #: Your invoice number</t>
        </is>
      </c>
    </row>
    <row r="28" ht="20" customHeight="1">
      <c r="A28" s="28" t="inlineStr">
        <is>
          <t>• Gross Amount: Total invoice amount including VAT</t>
        </is>
      </c>
    </row>
    <row r="29" ht="20" customHeight="1">
      <c r="A29" s="28" t="inlineStr">
        <is>
          <t>• VAT and Net amounts calculate automatically</t>
        </is>
      </c>
    </row>
    <row r="30" ht="20" customHeight="1">
      <c r="A30" s="28" t="inlineStr"/>
    </row>
    <row r="31" ht="20" customHeight="1">
      <c r="A31" s="28" t="inlineStr">
        <is>
          <t>PROJECT COSTING SHEET:</t>
        </is>
      </c>
    </row>
    <row r="32" ht="20" customHeight="1">
      <c r="A32" s="28" t="inlineStr">
        <is>
          <t>• Date: Transaction date</t>
        </is>
      </c>
    </row>
    <row r="33" ht="20" customHeight="1">
      <c r="A33" s="28" t="inlineStr">
        <is>
          <t>• Project Name: Name of the project</t>
        </is>
      </c>
    </row>
    <row r="34" ht="20" customHeight="1">
      <c r="A34" s="28" t="inlineStr">
        <is>
          <t>• PO #: Purchase Order number</t>
        </is>
      </c>
    </row>
    <row r="35" ht="20" customHeight="1">
      <c r="A35" s="28" t="inlineStr">
        <is>
          <t>• PO Value: Total budgeted amount for the PO</t>
        </is>
      </c>
    </row>
    <row r="36" ht="20" customHeight="1">
      <c r="A36" s="28" t="inlineStr">
        <is>
          <t>• Cost Paid: Actual cost paid for the project</t>
        </is>
      </c>
    </row>
    <row r="37" ht="20" customHeight="1">
      <c r="A37" s="28" t="inlineStr">
        <is>
          <t>• Balance calculates automatically (PO Value - Cost Paid)</t>
        </is>
      </c>
    </row>
    <row r="38" ht="20" customHeight="1">
      <c r="A38" s="28" t="inlineStr"/>
    </row>
    <row r="39" ht="20" customHeight="1">
      <c r="A39" s="28" t="inlineStr">
        <is>
          <t>EXPENSES SHEET:</t>
        </is>
      </c>
    </row>
    <row r="40" ht="20" customHeight="1">
      <c r="A40" s="28" t="inlineStr">
        <is>
          <t>• Date: Expense date</t>
        </is>
      </c>
    </row>
    <row r="41" ht="20" customHeight="1">
      <c r="A41" s="28" t="inlineStr">
        <is>
          <t>• Category: Office Rent, Utilities, Salaries, Insurance, etc.</t>
        </is>
      </c>
    </row>
    <row r="42" ht="20" customHeight="1">
      <c r="A42" s="28" t="inlineStr">
        <is>
          <t>• Amount: Expense amount in SAR</t>
        </is>
      </c>
    </row>
    <row r="43" ht="20" customHeight="1">
      <c r="A43" s="28" t="inlineStr">
        <is>
          <t>• VAT Recoverable: Yes/No (affects VAT calculation)</t>
        </is>
      </c>
    </row>
    <row r="44" ht="20" customHeight="1">
      <c r="A44" s="28" t="inlineStr">
        <is>
          <t>• Invoice #: Supplier invoice number</t>
        </is>
      </c>
    </row>
    <row r="45" ht="20" customHeight="1">
      <c r="A45" s="28" t="inlineStr"/>
    </row>
    <row r="46" ht="15" customHeight="1">
      <c r="A46" s="3" t="inlineStr">
        <is>
          <t>KEY FEATURES</t>
        </is>
      </c>
    </row>
    <row r="47" ht="20" customHeight="1">
      <c r="A47" s="28" t="inlineStr">
        <is>
          <t>✓ All sheets automatically link to Statement of Account</t>
        </is>
      </c>
    </row>
    <row r="48" ht="20" customHeight="1">
      <c r="A48" s="28" t="inlineStr">
        <is>
          <t>✓ VAT is calculated at 15% (Saudi Arabia standard rate)</t>
        </is>
      </c>
    </row>
    <row r="49" ht="20" customHeight="1">
      <c r="A49" s="28" t="inlineStr">
        <is>
          <t>✓ VAT in and VAT out are tracked separately and reconciled</t>
        </is>
      </c>
    </row>
    <row r="50" ht="20" customHeight="1">
      <c r="A50" s="28" t="inlineStr">
        <is>
          <t>✓ All partner shares calculated from one profit figure</t>
        </is>
      </c>
    </row>
    <row r="51" ht="20" customHeight="1">
      <c r="A51" s="28" t="inlineStr">
        <is>
          <t>✓ No manual calculations needed - everything is automated</t>
        </is>
      </c>
    </row>
    <row r="52" ht="20" customHeight="1">
      <c r="A52" s="28" t="inlineStr">
        <is>
          <t>✓ All amounts in Saudi Riyal (SAR)</t>
        </is>
      </c>
    </row>
    <row r="53" ht="20" customHeight="1">
      <c r="A53" s="28" t="inlineStr"/>
    </row>
    <row r="54" ht="15" customHeight="1">
      <c r="A54" s="3" t="inlineStr">
        <is>
          <t>PARTNER INFORMATION</t>
        </is>
      </c>
    </row>
    <row r="55" ht="20" customHeight="1">
      <c r="A55" s="28" t="inlineStr">
        <is>
          <t>Adnan Afzal: 17%</t>
        </is>
      </c>
    </row>
    <row r="56" ht="20" customHeight="1">
      <c r="A56" s="28" t="inlineStr">
        <is>
          <t>Zain Humayoun: 17%</t>
        </is>
      </c>
    </row>
    <row r="57" ht="20" customHeight="1">
      <c r="A57" s="28" t="inlineStr">
        <is>
          <t>Talha Ansari: 17%</t>
        </is>
      </c>
    </row>
    <row r="58" ht="20" customHeight="1">
      <c r="A58" s="28" t="inlineStr">
        <is>
          <t>Asad Rehman: 17%</t>
        </is>
      </c>
    </row>
    <row r="59" ht="20" customHeight="1">
      <c r="A59" s="28" t="inlineStr">
        <is>
          <t>Shahzad Khan: 17%</t>
        </is>
      </c>
    </row>
    <row r="60" ht="20" customHeight="1">
      <c r="A60" s="28" t="inlineStr">
        <is>
          <t>Yousuf: 7.5%</t>
        </is>
      </c>
    </row>
    <row r="61" ht="20" customHeight="1">
      <c r="A61" s="28" t="inlineStr"/>
    </row>
    <row r="62" ht="15" customHeight="1">
      <c r="A62" s="3" t="inlineStr">
        <is>
          <t>IMPORTANT NOTES</t>
        </is>
      </c>
    </row>
    <row r="63" ht="20" customHeight="1">
      <c r="A63" s="28" t="inlineStr">
        <is>
          <t>• Always enter amounts as numbers (e.g., 10000 not 10,000)</t>
        </is>
      </c>
    </row>
    <row r="64" ht="20" customHeight="1">
      <c r="A64" s="28" t="inlineStr">
        <is>
          <t>• The statement of account shows amounts BEFORE Zakat and other deductions</t>
        </is>
      </c>
    </row>
    <row r="65" ht="20" customHeight="1">
      <c r="A65" s="28" t="inlineStr">
        <is>
          <t>• VAT is managed separately and shown in the VAT Management sheet</t>
        </is>
      </c>
    </row>
    <row r="66" ht="20" customHeight="1">
      <c r="A66" s="28" t="inlineStr">
        <is>
          <t>• Each partner can view their share in the Partner Distribution sheet</t>
        </is>
      </c>
    </row>
    <row r="67" ht="20" customHeight="1">
      <c r="A67" s="28" t="inlineStr">
        <is>
          <t>• Keep all invoice references for audit trail</t>
        </is>
      </c>
    </row>
    <row r="68" ht="20" customHeight="1">
      <c r="A68" s="28" t="inlineStr">
        <is>
          <t>• Update regularly to keep financial data current</t>
        </is>
      </c>
    </row>
    <row r="69" ht="20" customHeight="1">
      <c r="A69" s="28" t="inlineStr"/>
    </row>
    <row r="70" ht="15" customHeight="1">
      <c r="A70" s="3" t="inlineStr">
        <is>
          <t>SUPPORT</t>
        </is>
      </c>
    </row>
    <row r="71" ht="20" customHeight="1">
      <c r="A71" s="28" t="inlineStr">
        <is>
          <t>For questions about data entry, refer to the specific sheet headers and examples provided in each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2026-05-29T22:29:16Z</dcterms:created>
  <dcterms:modified xmlns:dcterms="http://purl.org/dc/terms/" xmlns:xsi="http://www.w3.org/2001/XMLSchema-instance" xsi:type="dcterms:W3CDTF">2026-05-29T22:29:16Z</dcterms:modified>
</cp:coreProperties>
</file>